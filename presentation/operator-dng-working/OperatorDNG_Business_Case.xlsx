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сурс времени" sheetId="1" state="visible" r:id="rId1"/>
    <sheet xmlns:r="http://schemas.openxmlformats.org/officeDocument/2006/relationships" name="Событие" sheetId="2" state="visible" r:id="rId2"/>
    <sheet xmlns:r="http://schemas.openxmlformats.org/officeDocument/2006/relationships" name="Окупаемость" sheetId="3" state="visible" r:id="rId3"/>
    <sheet xmlns:r="http://schemas.openxmlformats.org/officeDocument/2006/relationships" name="Разработка" sheetId="4" state="visible" r:id="rId4"/>
    <sheet xmlns:r="http://schemas.openxmlformats.org/officeDocument/2006/relationships" name="Пилот" sheetId="5" state="visible" r:id="rId5"/>
    <sheet xmlns:r="http://schemas.openxmlformats.org/officeDocument/2006/relationships" name="Основания" sheetId="6" state="visible" r:id="rId6"/>
  </sheets>
  <definedNames>
    <definedName name="_xlnm._FilterDatabase" localSheetId="4" hidden="1">'Пилот'!$A$1:$H$41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;[Red]-#,##0.0"/>
  </numFmts>
  <fonts count="4">
    <font>
      <name val="Calibri"/>
      <family val="2"/>
      <color theme="1"/>
      <sz val="11"/>
      <scheme val="minor"/>
    </font>
    <font>
      <name val="Calibri"/>
      <color rgb="00152032"/>
      <sz val="11"/>
    </font>
    <font>
      <name val="Calibri"/>
      <b val="1"/>
      <color rgb="00FFD052"/>
      <sz val="12"/>
    </font>
    <font>
      <name val="Calibri"/>
      <b val="1"/>
      <color rgb="00775500"/>
      <sz val="12"/>
    </font>
  </fonts>
  <fills count="4">
    <fill>
      <patternFill/>
    </fill>
    <fill>
      <patternFill patternType="gray125"/>
    </fill>
    <fill>
      <patternFill patternType="solid">
        <fgColor rgb="00111A29"/>
      </patternFill>
    </fill>
    <fill>
      <patternFill patternType="solid">
        <fgColor rgb="00FFF1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Саныч-6</author>
  </authors>
  <commentList>
    <comment ref="B4" authorId="0" shapeId="0">
      <text>
        <t>Подтвердите источник; пустое поле не означает ноль.</t>
      </text>
    </comment>
    <comment ref="B5" authorId="0" shapeId="0">
      <text>
        <t>Подтвердите источник; пустое поле не означает ноль.</t>
      </text>
    </comment>
    <comment ref="B6" authorId="0" shapeId="0">
      <text>
        <t>Подтвердите источник; пустое поле не означает ноль.</t>
      </text>
    </comment>
    <comment ref="B7" authorId="0" shapeId="0">
      <text>
        <t>Подтвердите источник; пустое поле не означает ноль.</t>
      </text>
    </comment>
    <comment ref="B8" authorId="0" shapeId="0">
      <text>
        <t>Подтвердите источник; пустое поле не означает ноль.</t>
      </text>
    </comment>
    <comment ref="B9" authorId="0" shapeId="0">
      <text>
        <t>Подтвердите источник; пустое поле не означает ноль.</t>
      </text>
    </comment>
    <comment ref="B10" authorId="0" shapeId="0">
      <text>
        <t>Подтвердите источник; пустое поле не означает ноль.</t>
      </text>
    </comment>
    <comment ref="B11" authorId="0" shapeId="0">
      <text>
        <t>Подтвердите источник; пустое поле не означает ноль.</t>
      </text>
    </comment>
    <comment ref="B12" authorId="0" shapeId="0">
      <text>
        <t>Подтвердите источник; пустое поле не означает ноль.</t>
      </text>
    </comment>
  </commentList>
</comments>
</file>

<file path=xl/comments/comment2.xml><?xml version="1.0" encoding="utf-8"?>
<comments xmlns="http://schemas.openxmlformats.org/spreadsheetml/2006/main">
  <authors>
    <author>Саныч-6</author>
  </authors>
  <commentList>
    <comment ref="B4" authorId="0" shapeId="0">
      <text>
        <t>Подтвердите источник; пустое поле не означает ноль.</t>
      </text>
    </comment>
    <comment ref="B5" authorId="0" shapeId="0">
      <text>
        <t>Подтвердите источник; пустое поле не означает ноль.</t>
      </text>
    </comment>
    <comment ref="B6" authorId="0" shapeId="0">
      <text>
        <t>Подтвердите источник; пустое поле не означает ноль.</t>
      </text>
    </comment>
    <comment ref="B7" authorId="0" shapeId="0">
      <text>
        <t>Подтвердите источник; пустое поле не означает ноль.</t>
      </text>
    </comment>
    <comment ref="B8" authorId="0" shapeId="0">
      <text>
        <t>Подтвердите источник; пустое поле не означает ноль.</t>
      </text>
    </comment>
    <comment ref="B9" authorId="0" shapeId="0">
      <text>
        <t>Подтвердите источник; пустое поле не означает ноль.</t>
      </text>
    </comment>
    <comment ref="B10" authorId="0" shapeId="0">
      <text>
        <t>Подтвердите источник; пустое поле не означает ноль.</t>
      </text>
    </comment>
    <comment ref="B11" authorId="0" shapeId="0">
      <text>
        <t>Подтвердите источник; пустое поле не означает ноль.</t>
      </text>
    </comment>
  </commentList>
</comments>
</file>

<file path=xl/comments/comment3.xml><?xml version="1.0" encoding="utf-8"?>
<comments xmlns="http://schemas.openxmlformats.org/spreadsheetml/2006/main">
  <authors>
    <author>Саныч-6</author>
  </authors>
  <commentList>
    <comment ref="B4" authorId="0" shapeId="0">
      <text>
        <t>Подтвердите источник; пустое поле не означает ноль.</t>
      </text>
    </comment>
    <comment ref="B5" authorId="0" shapeId="0">
      <text>
        <t>Подтвердите источник; пустое поле не означает ноль.</t>
      </text>
    </comment>
    <comment ref="B6" authorId="0" shapeId="0">
      <text>
        <t>Подтвердите источник; пустое поле не означает ноль.</t>
      </text>
    </comment>
  </commentList>
</comments>
</file>

<file path=xl/comments/comment4.xml><?xml version="1.0" encoding="utf-8"?>
<comments xmlns="http://schemas.openxmlformats.org/spreadsheetml/2006/main">
  <authors>
    <author>Саныч-6</author>
  </authors>
  <commentList>
    <comment ref="B4" authorId="0" shapeId="0">
      <text>
        <t>Подтвердите источник; пустое поле не означает ноль.</t>
      </text>
    </comment>
    <comment ref="B5" authorId="0" shapeId="0">
      <text>
        <t>Подтвердите источник; пустое поле не означает ноль.</t>
      </text>
    </comment>
    <comment ref="B6" authorId="0" shapeId="0">
      <text>
        <t>Подтвердите источник; пустое поле не означает ноль.</t>
      </text>
    </comment>
    <comment ref="B7" authorId="0" shapeId="0">
      <text>
        <t>Подтвердите источник; пустое поле не означает ноль.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3" customWidth="1" min="1" max="1"/>
    <col width="24" customWidth="1" min="2" max="2"/>
    <col width="17" customWidth="1" min="3" max="3"/>
    <col width="70" customWidth="1" min="4" max="4"/>
  </cols>
  <sheetData>
    <row r="1" ht="34" customHeight="1">
      <c r="A1" s="1" t="inlineStr">
        <is>
          <t>ОПЕРАТОР ДНГ · масштаб замеров и ресурс времени</t>
        </is>
      </c>
      <c r="B1" s="1" t="inlineStr"/>
      <c r="C1" s="1" t="inlineStr"/>
      <c r="D1" s="1" t="inlineStr"/>
    </row>
    <row r="2" ht="34" customHeight="1">
      <c r="A2" s="2" t="inlineStr">
        <is>
          <t>Жёлтые поля — вводные; пустое поле не считается нулём. Денежный эффект не подтверждён.</t>
        </is>
      </c>
      <c r="B2" s="2" t="inlineStr"/>
      <c r="C2" s="2" t="inlineStr"/>
      <c r="D2" s="2" t="inlineStr"/>
    </row>
    <row r="3" ht="34" customHeight="1">
      <c r="A3" s="1" t="inlineStr">
        <is>
          <t>Показатель</t>
        </is>
      </c>
      <c r="B3" s="1" t="inlineStr">
        <is>
          <t>Значение</t>
        </is>
      </c>
      <c r="C3" s="1" t="inlineStr">
        <is>
          <t>Единицы</t>
        </is>
      </c>
      <c r="D3" s="1" t="inlineStr">
        <is>
          <t>Основание / примечание</t>
        </is>
      </c>
    </row>
    <row r="4" ht="34" customHeight="1">
      <c r="A4" s="2" t="inlineStr">
        <is>
          <t>Потенциальная аудитория</t>
        </is>
      </c>
      <c r="B4" s="3" t="n">
        <v>250</v>
      </c>
      <c r="C4" s="2" t="inlineStr">
        <is>
          <t>чел.</t>
        </is>
      </c>
      <c r="D4" s="2" t="inlineStr">
        <is>
          <t>Оценка автора; не число активных пользователей</t>
        </is>
      </c>
    </row>
    <row r="5" ht="34" customHeight="1">
      <c r="A5" s="2" t="inlineStr">
        <is>
          <t>Активных операторов в день</t>
        </is>
      </c>
      <c r="B5" s="3" t="n"/>
      <c r="C5" s="2" t="inlineStr">
        <is>
          <t>чел.</t>
        </is>
      </c>
      <c r="D5" s="2" t="inlineStr">
        <is>
          <t>По пилоту; не больше потенциальной аудитории</t>
        </is>
      </c>
    </row>
    <row r="6" ht="34" customHeight="1">
      <c r="A6" s="2" t="inlineStr">
        <is>
          <t>Рабочих дней наблюдаемого сценария в год</t>
        </is>
      </c>
      <c r="B6" s="3" t="n"/>
      <c r="C6" s="2" t="inlineStr">
        <is>
          <t>дней</t>
        </is>
      </c>
      <c r="D6" s="2" t="inlineStr">
        <is>
          <t>Согласованный период; не автоматически 365</t>
        </is>
      </c>
    </row>
    <row r="7" ht="34" customHeight="1">
      <c r="A7" s="2" t="inlineStr">
        <is>
          <t>Среднее число замеров в активный день</t>
        </is>
      </c>
      <c r="B7" s="3" t="n"/>
      <c r="C7" s="2" t="inlineStr">
        <is>
          <t>замеров</t>
        </is>
      </c>
      <c r="D7" s="2" t="inlineStr">
        <is>
          <t>7–9 бывает по опыту автора; среднее измерить</t>
        </is>
      </c>
    </row>
    <row r="8" ht="34" customHeight="1">
      <c r="A8" s="2" t="inlineStr">
        <is>
          <t>Время на операцию до</t>
        </is>
      </c>
      <c r="B8" s="3" t="n"/>
      <c r="C8" s="2" t="inlineStr">
        <is>
          <t>мин</t>
        </is>
      </c>
      <c r="D8" s="2" t="inlineStr">
        <is>
          <t>Сопоставимый хронометраж</t>
        </is>
      </c>
    </row>
    <row r="9" ht="34" customHeight="1">
      <c r="A9" s="2" t="inlineStr">
        <is>
          <t>Время на операцию после</t>
        </is>
      </c>
      <c r="B9" s="3" t="n"/>
      <c r="C9" s="2" t="inlineStr">
        <is>
          <t>мин</t>
        </is>
      </c>
      <c r="D9" s="2" t="inlineStr">
        <is>
          <t>Сопоставимый хронометраж</t>
        </is>
      </c>
    </row>
    <row r="10" ht="34" customHeight="1">
      <c r="A10" s="2" t="inlineStr">
        <is>
          <t>Полная стоимость часа</t>
        </is>
      </c>
      <c r="B10" s="3" t="n"/>
      <c r="C10" s="2" t="inlineStr">
        <is>
          <t>₽/ч</t>
        </is>
      </c>
      <c r="D10" s="2" t="inlineStr">
        <is>
          <t>Подтверждает экономическая служба</t>
        </is>
      </c>
    </row>
    <row r="11" ht="34" customHeight="1">
      <c r="A11" s="2" t="inlineStr">
        <is>
          <t>Доля денежной реализации времени</t>
        </is>
      </c>
      <c r="B11" s="3" t="n"/>
      <c r="C11" s="2" t="inlineStr">
        <is>
          <t>%</t>
        </is>
      </c>
      <c r="D11" s="2" t="inlineStr">
        <is>
          <t>При отсутствии сокращаемых затрат может быть 0%</t>
        </is>
      </c>
    </row>
    <row r="12" ht="34" customHeight="1">
      <c r="A12" s="2" t="inlineStr">
        <is>
          <t>Доля применения приложения</t>
        </is>
      </c>
      <c r="B12" s="3" t="n"/>
      <c r="C12" s="2" t="inlineStr">
        <is>
          <t>%</t>
        </is>
      </c>
      <c r="D12" s="2" t="inlineStr">
        <is>
          <t>Доля подходящих операций с фактическим использованием</t>
        </is>
      </c>
    </row>
    <row r="13" ht="34" customHeight="1">
      <c r="A13" s="2" t="inlineStr"/>
      <c r="B13" s="2" t="inlineStr"/>
      <c r="C13" s="2" t="inlineStr"/>
      <c r="D13" s="2" t="inlineStr"/>
    </row>
    <row r="14" ht="34" customHeight="1">
      <c r="A14" s="2" t="inlineStr">
        <is>
          <t>РАСЧЁТ</t>
        </is>
      </c>
      <c r="B14" s="2" t="inlineStr"/>
      <c r="C14" s="2" t="inlineStr"/>
      <c r="D14" s="2" t="inlineStr"/>
    </row>
    <row r="15" ht="34" customHeight="1">
      <c r="A15" s="2" t="inlineStr">
        <is>
          <t>Замеров за год</t>
        </is>
      </c>
      <c r="B15" s="4">
        <f>IF(AND(COUNT(B5:B7)=3,MIN(B5:B7)&gt;=0,B5&lt;=B4),B5*B6*B7,"")</f>
        <v/>
      </c>
      <c r="C15" s="2" t="inlineStr">
        <is>
          <t>замеров</t>
        </is>
      </c>
      <c r="D15" s="2" t="inlineStr">
        <is>
          <t>Условный объём; зависит от введённого числа активных операторов</t>
        </is>
      </c>
    </row>
    <row r="16" ht="34" customHeight="1">
      <c r="A16" s="2" t="inlineStr">
        <is>
          <t>Высвобождено часов</t>
        </is>
      </c>
      <c r="B16" s="4">
        <f>IF(AND(ISNUMBER(B15),COUNT(B8:B9)=2,B8&gt;=B9,B9&gt;=0,ISNUMBER(B12),B12&gt;=0,B12&lt;=100),B15*(B8-B9)/60*B12/100,"")</f>
        <v/>
      </c>
      <c r="C16" s="2" t="inlineStr">
        <is>
          <t>ч/год</t>
        </is>
      </c>
      <c r="D16" s="2" t="inlineStr">
        <is>
          <t>Ресурс рабочего времени, не снижение ФОТ</t>
        </is>
      </c>
    </row>
    <row r="17" ht="34" customHeight="1">
      <c r="A17" s="2" t="inlineStr">
        <is>
          <t>Оценка ресурса в деньгах</t>
        </is>
      </c>
      <c r="B17" s="4">
        <f>IF(AND(ISNUMBER(B16),ISNUMBER(B10),B10&gt;=0),B16*B10,"")</f>
        <v/>
      </c>
      <c r="C17" s="2" t="inlineStr">
        <is>
          <t>₽/год</t>
        </is>
      </c>
      <c r="D17" s="2" t="inlineStr">
        <is>
          <t>Не выдавать за экономию денежных расходов</t>
        </is>
      </c>
    </row>
    <row r="18" ht="34" customHeight="1">
      <c r="A18" s="2" t="inlineStr">
        <is>
          <t>Реализуемая денежная часть</t>
        </is>
      </c>
      <c r="B18" s="4">
        <f>IF(AND(ISNUMBER(B17),ISNUMBER(B11),B11&gt;=0,B11&lt;=100),B17*B11/100,"")</f>
        <v/>
      </c>
      <c r="C18" s="2" t="inlineStr">
        <is>
          <t>₽/год</t>
        </is>
      </c>
      <c r="D18" s="2" t="inlineStr">
        <is>
          <t>Только обоснованная доля</t>
        </is>
      </c>
    </row>
  </sheetData>
  <dataValidations count="2">
    <dataValidation sqref="B4:B12" showDropDown="0" showInputMessage="0" showErrorMessage="1" allowBlank="0" error="Введите неотрицательное число" type="decimal" operator="greaterThanOrEqual">
      <formula1>0</formula1>
    </dataValidation>
    <dataValidation sqref="B11 B12" showDropDown="0" showInputMessage="0" showErrorMessage="1" allowBlank="0" type="decimal" operator="between">
      <formula1>0</formula1>
      <formula2>100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3" customWidth="1" min="1" max="1"/>
    <col width="24" customWidth="1" min="2" max="2"/>
    <col width="17" customWidth="1" min="3" max="3"/>
    <col width="70" customWidth="1" min="4" max="4"/>
  </cols>
  <sheetData>
    <row r="1" ht="34" customHeight="1">
      <c r="A1" s="1" t="inlineStr">
        <is>
          <t>ОПЕРАТОР ДНГ · сценарная оценка одного производственного события</t>
        </is>
      </c>
      <c r="B1" s="1" t="inlineStr"/>
      <c r="C1" s="1" t="inlineStr"/>
      <c r="D1" s="1" t="inlineStr"/>
    </row>
    <row r="2" ht="34" customHeight="1">
      <c r="A2" s="2" t="inlineStr">
        <is>
          <t>Жёлтые поля — вводные; пустое поле не считается нулём. Денежный эффект не подтверждён.</t>
        </is>
      </c>
      <c r="B2" s="2" t="inlineStr"/>
      <c r="C2" s="2" t="inlineStr"/>
      <c r="D2" s="2" t="inlineStr"/>
    </row>
    <row r="3" ht="34" customHeight="1">
      <c r="A3" s="1" t="inlineStr">
        <is>
          <t>Показатель</t>
        </is>
      </c>
      <c r="B3" s="1" t="inlineStr">
        <is>
          <t>Значение</t>
        </is>
      </c>
      <c r="C3" s="1" t="inlineStr">
        <is>
          <t>Единицы</t>
        </is>
      </c>
      <c r="D3" s="1" t="inlineStr">
        <is>
          <t>Основание / примечание</t>
        </is>
      </c>
    </row>
    <row r="4" ht="34" customHeight="1">
      <c r="A4" s="2" t="inlineStr">
        <is>
          <t>Продолжительность простоя</t>
        </is>
      </c>
      <c r="B4" s="3" t="n"/>
      <c r="C4" s="2" t="inlineStr">
        <is>
          <t>ч</t>
        </is>
      </c>
      <c r="D4" s="2" t="inlineStr">
        <is>
          <t>Подтверждённый случай / сценарий технологической службы</t>
        </is>
      </c>
    </row>
    <row r="5" ht="34" customHeight="1">
      <c r="A5" s="2" t="inlineStr">
        <is>
          <t>Дебит нефти до события</t>
        </is>
      </c>
      <c r="B5" s="3" t="n"/>
      <c r="C5" s="2" t="inlineStr">
        <is>
          <t>т/сут</t>
        </is>
      </c>
      <c r="D5" s="2" t="inlineStr">
        <is>
          <t>По конкретной скважине; не общий жидкостный дебит</t>
        </is>
      </c>
    </row>
    <row r="6" ht="34" customHeight="1">
      <c r="A6" s="2" t="inlineStr">
        <is>
          <t>Экономический эффект единицы нефти</t>
        </is>
      </c>
      <c r="B6" s="3" t="n"/>
      <c r="C6" s="2" t="inlineStr">
        <is>
          <t>₽/т</t>
        </is>
      </c>
      <c r="D6" s="2" t="inlineStr">
        <is>
          <t>Согласованная маржинальная оценка, не произвольная выручка</t>
        </is>
      </c>
    </row>
    <row r="7" ht="34" customHeight="1">
      <c r="A7" s="2" t="inlineStr">
        <is>
          <t>Доля некомпенсируемой добычи</t>
        </is>
      </c>
      <c r="B7" s="3" t="n"/>
      <c r="C7" s="2" t="inlineStr">
        <is>
          <t>%</t>
        </is>
      </c>
      <c r="D7" s="2" t="inlineStr">
        <is>
          <t>Учитывает возможность последующего восстановления добычи</t>
        </is>
      </c>
    </row>
    <row r="8" ht="34" customHeight="1">
      <c r="A8" s="2" t="inlineStr">
        <is>
          <t>Прямые расходы события</t>
        </is>
      </c>
      <c r="B8" s="3" t="n"/>
      <c r="C8" s="2" t="inlineStr">
        <is>
          <t>₽</t>
        </is>
      </c>
      <c r="D8" s="2" t="inlineStr">
        <is>
          <t>Ремонт / восстановление: только подтверждённые расходы</t>
        </is>
      </c>
    </row>
    <row r="9" ht="34" customHeight="1">
      <c r="A9" s="2" t="inlineStr">
        <is>
          <t>Базовая частота сопоставимых событий</t>
        </is>
      </c>
      <c r="B9" s="3" t="n"/>
      <c r="C9" s="2" t="inlineStr">
        <is>
          <t>событий/год</t>
        </is>
      </c>
      <c r="D9" s="2" t="inlineStr">
        <is>
          <t>По истории; не число пользователей</t>
        </is>
      </c>
    </row>
    <row r="10" ht="34" customHeight="1">
      <c r="A10" s="2" t="inlineStr">
        <is>
          <t>Снижение частоты в сценарии</t>
        </is>
      </c>
      <c r="B10" s="3" t="n"/>
      <c r="C10" s="2" t="inlineStr">
        <is>
          <t>%</t>
        </is>
      </c>
      <c r="D10" s="2" t="inlineStr">
        <is>
          <t>Не измерено. Нужны данные; не назначать произвольно</t>
        </is>
      </c>
    </row>
    <row r="11" ht="34" customHeight="1">
      <c r="A11" s="2" t="inlineStr">
        <is>
          <t>Доля вклада приложения</t>
        </is>
      </c>
      <c r="B11" s="3" t="n"/>
      <c r="C11" s="2" t="inlineStr">
        <is>
          <t>%</t>
        </is>
      </c>
      <c r="D11" s="2" t="inlineStr">
        <is>
          <t>Исключить эффекты других мероприятий и двойной счёт</t>
        </is>
      </c>
    </row>
    <row r="12" ht="34" customHeight="1">
      <c r="A12" s="2" t="inlineStr"/>
      <c r="B12" s="2" t="inlineStr"/>
      <c r="C12" s="2" t="inlineStr"/>
      <c r="D12" s="2" t="inlineStr"/>
    </row>
    <row r="13" ht="34" customHeight="1">
      <c r="A13" s="2" t="inlineStr">
        <is>
          <t>РАСЧЁТ</t>
        </is>
      </c>
      <c r="B13" s="2" t="inlineStr"/>
      <c r="C13" s="2" t="inlineStr"/>
      <c r="D13" s="2" t="inlineStr"/>
    </row>
    <row r="14" ht="34" customHeight="1">
      <c r="A14" s="2" t="inlineStr">
        <is>
          <t>Недополученная добыча за простой</t>
        </is>
      </c>
      <c r="B14" s="4">
        <f>IF(AND(COUNT(B4:B5)=2,MIN(B4:B5)&gt;=0),B4*B5/24,"")</f>
        <v/>
      </c>
      <c r="C14" s="2" t="inlineStr">
        <is>
          <t>т</t>
        </is>
      </c>
      <c r="D14" s="2" t="inlineStr">
        <is>
          <t>Условный объём за период остановки</t>
        </is>
      </c>
    </row>
    <row r="15" ht="34" customHeight="1">
      <c r="A15" s="2" t="inlineStr">
        <is>
          <t>Согласованная оценка потерь добычи</t>
        </is>
      </c>
      <c r="B15" s="4">
        <f>IF(AND(ISNUMBER(B14),COUNT(B6:B7)=2,B6&gt;=0,B7&gt;=0,B7&lt;=100),B14*B6*B7/100,"")</f>
        <v/>
      </c>
      <c r="C15" s="2" t="inlineStr">
        <is>
          <t>₽</t>
        </is>
      </c>
      <c r="D15" s="2" t="inlineStr">
        <is>
          <t>После учёта некомпенсируемой доли</t>
        </is>
      </c>
    </row>
    <row r="16" ht="34" customHeight="1">
      <c r="A16" s="2" t="inlineStr">
        <is>
          <t>Эффект предотвращения одного события</t>
        </is>
      </c>
      <c r="B16" s="4">
        <f>IF(AND(ISNUMBER(B15),ISNUMBER(B8),B8&gt;=0),B15+B8,"")</f>
        <v/>
      </c>
      <c r="C16" s="2" t="inlineStr">
        <is>
          <t>₽/событие</t>
        </is>
      </c>
      <c r="D16" s="2" t="inlineStr">
        <is>
          <t>Пороговая оценка; событие ещё не считается предотвращённым</t>
        </is>
      </c>
    </row>
    <row r="17" ht="34" customHeight="1">
      <c r="A17" s="2" t="inlineStr">
        <is>
          <t>Ожидаемые события с учётом вклада</t>
        </is>
      </c>
      <c r="B17" s="4">
        <f>IF(AND(COUNT(B9:B11)=3,MIN(B9:B11)&gt;=0,B10&lt;=100,B11&lt;=100),B9*B10/100*B11/100,"")</f>
        <v/>
      </c>
      <c r="C17" s="2" t="inlineStr">
        <is>
          <t>событий/год</t>
        </is>
      </c>
      <c r="D17" s="2" t="inlineStr">
        <is>
          <t>Это математическое ожидание, может быть дробным</t>
        </is>
      </c>
    </row>
    <row r="18" ht="34" customHeight="1">
      <c r="A18" s="2" t="inlineStr">
        <is>
          <t>Ожидаемый годовой эффект</t>
        </is>
      </c>
      <c r="B18" s="4">
        <f>IF(AND(ISNUMBER(B16),ISNUMBER(B17)),B16*B17,"")</f>
        <v/>
      </c>
      <c r="C18" s="2" t="inlineStr">
        <is>
          <t>₽/год</t>
        </is>
      </c>
      <c r="D18" s="2" t="inlineStr">
        <is>
          <t>Условный сценарий, не результат внедрения</t>
        </is>
      </c>
    </row>
  </sheetData>
  <dataValidations count="2">
    <dataValidation sqref="B4:B11" showDropDown="0" showInputMessage="0" showErrorMessage="1" allowBlank="0" error="Введите неотрицательное число" type="decimal" operator="greaterThanOrEqual">
      <formula1>0</formula1>
    </dataValidation>
    <dataValidation sqref="B7 B10 B11" showDropDown="0" showInputMessage="0" showErrorMessage="1" allowBlank="0" type="decimal" operator="between">
      <formula1>0</formula1>
      <formula2>100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3" customWidth="1" min="1" max="1"/>
    <col width="24" customWidth="1" min="2" max="2"/>
    <col width="17" customWidth="1" min="3" max="3"/>
    <col width="70" customWidth="1" min="4" max="4"/>
  </cols>
  <sheetData>
    <row r="1" ht="34" customHeight="1">
      <c r="A1" s="1" t="inlineStr">
        <is>
          <t>ОПЕРАТОР ДНГ · затраты, ожидаемый результат и порог</t>
        </is>
      </c>
      <c r="B1" s="1" t="inlineStr"/>
      <c r="C1" s="1" t="inlineStr"/>
      <c r="D1" s="1" t="inlineStr"/>
    </row>
    <row r="2" ht="34" customHeight="1">
      <c r="A2" s="2" t="inlineStr">
        <is>
          <t>Жёлтые поля — вводные; пустое поле не считается нулём. Денежный эффект не подтверждён.</t>
        </is>
      </c>
      <c r="B2" s="2" t="inlineStr"/>
      <c r="C2" s="2" t="inlineStr"/>
      <c r="D2" s="2" t="inlineStr"/>
    </row>
    <row r="3" ht="34" customHeight="1">
      <c r="A3" s="1" t="inlineStr">
        <is>
          <t>Показатель</t>
        </is>
      </c>
      <c r="B3" s="1" t="inlineStr">
        <is>
          <t>Значение</t>
        </is>
      </c>
      <c r="C3" s="1" t="inlineStr">
        <is>
          <t>Единицы</t>
        </is>
      </c>
      <c r="D3" s="1" t="inlineStr">
        <is>
          <t>Основание / примечание</t>
        </is>
      </c>
    </row>
    <row r="4" ht="34" customHeight="1">
      <c r="A4" s="2" t="inlineStr">
        <is>
          <t>Разовые затраты</t>
        </is>
      </c>
      <c r="B4" s="3" t="n"/>
      <c r="C4" s="2" t="inlineStr">
        <is>
          <t>₽</t>
        </is>
      </c>
      <c r="D4" s="2" t="inlineStr">
        <is>
          <t>Проверка, обучение, внедрение, устройства и старт</t>
        </is>
      </c>
    </row>
    <row r="5" ht="34" customHeight="1">
      <c r="A5" s="2" t="inlineStr">
        <is>
          <t>Сопровождение ежемесячно</t>
        </is>
      </c>
      <c r="B5" s="3" t="n"/>
      <c r="C5" s="2" t="inlineStr">
        <is>
          <t>₽/мес</t>
        </is>
      </c>
      <c r="D5" s="2" t="inlineStr">
        <is>
          <t>Ответственный, обновления, инфраструктура</t>
        </is>
      </c>
    </row>
    <row r="6" ht="34" customHeight="1">
      <c r="A6" s="2" t="inlineStr">
        <is>
          <t>Другие ежегодные затраты</t>
        </is>
      </c>
      <c r="B6" s="3" t="n"/>
      <c r="C6" s="2" t="inlineStr">
        <is>
          <t>₽/год</t>
        </is>
      </c>
      <c r="D6" s="2" t="inlineStr">
        <is>
          <t>Только без пересечения с сопровождением</t>
        </is>
      </c>
    </row>
    <row r="7" ht="34" customHeight="1">
      <c r="A7" s="2" t="inlineStr"/>
      <c r="B7" s="2" t="inlineStr"/>
      <c r="C7" s="2" t="inlineStr"/>
      <c r="D7" s="2" t="inlineStr"/>
    </row>
    <row r="8" ht="34" customHeight="1">
      <c r="A8" s="2" t="inlineStr">
        <is>
          <t>РАСЧЁТ</t>
        </is>
      </c>
      <c r="B8" s="2" t="inlineStr"/>
      <c r="C8" s="2" t="inlineStr"/>
      <c r="D8" s="2" t="inlineStr"/>
    </row>
    <row r="9" ht="34" customHeight="1">
      <c r="A9" s="2" t="inlineStr">
        <is>
          <t>Затраты первого года</t>
        </is>
      </c>
      <c r="B9" s="4">
        <f>IF(AND(COUNT(B4:B6)=3,MIN(B4:B6)&gt;=0),B4+12*B5+B6,"")</f>
        <v/>
      </c>
      <c r="C9" s="2" t="inlineStr">
        <is>
          <t>₽</t>
        </is>
      </c>
      <c r="D9" s="2" t="inlineStr">
        <is>
          <t>Без вычета пока не подтверждённых эффектов</t>
        </is>
      </c>
    </row>
    <row r="10" ht="34" customHeight="1">
      <c r="A10" s="2" t="inlineStr">
        <is>
          <t>Денежная часть времени</t>
        </is>
      </c>
      <c r="B10" s="4">
        <f>IF(ISNUMBER('Ресурс времени'!B18),'Ресурс времени'!B18,"")</f>
        <v/>
      </c>
      <c r="C10" s="2" t="inlineStr">
        <is>
          <t>₽/год</t>
        </is>
      </c>
      <c r="D10" s="2" t="inlineStr">
        <is>
          <t>Пустой результат исходного листа не превращается в 0</t>
        </is>
      </c>
    </row>
    <row r="11" ht="34" customHeight="1">
      <c r="A11" s="2" t="inlineStr">
        <is>
          <t>Ожидаемый эффект событий</t>
        </is>
      </c>
      <c r="B11" s="4">
        <f>IF(ISNUMBER(Событие!B18),Событие!B18,"")</f>
        <v/>
      </c>
      <c r="C11" s="2" t="inlineStr">
        <is>
          <t>₽/год</t>
        </is>
      </c>
      <c r="D11" s="2" t="inlineStr">
        <is>
          <t>Проверить отсутствие двойного счёта</t>
        </is>
      </c>
    </row>
    <row r="12" ht="34" customHeight="1">
      <c r="A12" s="2" t="inlineStr">
        <is>
          <t>Ожидаемый результат первого года</t>
        </is>
      </c>
      <c r="B12" s="4">
        <f>IF(COUNT(B9:B11)=3,B10+B11-B9,"")</f>
        <v/>
      </c>
      <c r="C12" s="2" t="inlineStr">
        <is>
          <t>₽</t>
        </is>
      </c>
      <c r="D12" s="2" t="inlineStr">
        <is>
          <t>Условный сценарий после всех затрат</t>
        </is>
      </c>
    </row>
    <row r="13" ht="34" customHeight="1">
      <c r="A13" s="2" t="inlineStr">
        <is>
          <t>Порог: полных событий для покрытия затрат</t>
        </is>
      </c>
      <c r="B13" s="4">
        <f>IF(AND(ISNUMBER(B9),ISNUMBER(Событие!B16),Событие!B16&gt;0),ROUNDUP(B9/Событие!B16,0),"")</f>
        <v/>
      </c>
      <c r="C13" s="2" t="inlineStr">
        <is>
          <t>событий</t>
        </is>
      </c>
      <c r="D13" s="2" t="inlineStr">
        <is>
          <t>Без зачёта времени; это не прогноз предотвращённых отказов</t>
        </is>
      </c>
    </row>
    <row r="14" ht="34" customHeight="1">
      <c r="A14" s="2" t="inlineStr">
        <is>
          <t>Ожидаемая простая окупаемость</t>
        </is>
      </c>
      <c r="B14" s="4">
        <f>IF(AND(COUNT(B4:B6)=3,COUNT(B10:B11)=2),IF((B10+B11)/12-B5-B6/12&gt;0,B4/((B10+B11)/12-B5-B6/12),"Не достигается"),"")</f>
        <v/>
      </c>
      <c r="C14" s="2" t="inlineStr">
        <is>
          <t>мес</t>
        </is>
      </c>
      <c r="D14" s="2" t="inlineStr">
        <is>
          <t>Без дисконтирования; требует обоснования вводных</t>
        </is>
      </c>
    </row>
  </sheetData>
  <dataValidations count="1">
    <dataValidation sqref="B4:B6" showDropDown="0" showInputMessage="0" showErrorMessage="1" allowBlank="0" error="Введите неотрицательное число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3" customWidth="1" min="1" max="1"/>
    <col width="24" customWidth="1" min="2" max="2"/>
    <col width="17" customWidth="1" min="3" max="3"/>
    <col width="70" customWidth="1" min="4" max="4"/>
  </cols>
  <sheetData>
    <row r="1" ht="34" customHeight="1">
      <c r="A1" s="1" t="inlineStr">
        <is>
          <t>ОПЕРАТОР ДНГ · уже затраченные ресурсы</t>
        </is>
      </c>
      <c r="B1" s="1" t="inlineStr"/>
      <c r="C1" s="1" t="inlineStr"/>
      <c r="D1" s="1" t="inlineStr"/>
    </row>
    <row r="2" ht="34" customHeight="1">
      <c r="A2" s="2" t="inlineStr">
        <is>
          <t>Жёлтые поля — вводные; пустое поле не считается нулём. Денежный эффект не подтверждён.</t>
        </is>
      </c>
      <c r="B2" s="2" t="inlineStr"/>
      <c r="C2" s="2" t="inlineStr"/>
      <c r="D2" s="2" t="inlineStr"/>
    </row>
    <row r="3" ht="34" customHeight="1">
      <c r="A3" s="1" t="inlineStr">
        <is>
          <t>Показатель</t>
        </is>
      </c>
      <c r="B3" s="1" t="inlineStr">
        <is>
          <t>Значение</t>
        </is>
      </c>
      <c r="C3" s="1" t="inlineStr">
        <is>
          <t>Единицы</t>
        </is>
      </c>
      <c r="D3" s="1" t="inlineStr">
        <is>
          <t>Основание / примечание</t>
        </is>
      </c>
    </row>
    <row r="4" ht="34" customHeight="1">
      <c r="A4" s="2" t="inlineStr">
        <is>
          <t>Календарная длительность разработки</t>
        </is>
      </c>
      <c r="B4" s="3" t="n">
        <v>3</v>
      </c>
      <c r="C4" s="2" t="inlineStr">
        <is>
          <t>месяца</t>
        </is>
      </c>
      <c r="D4" s="2" t="inlineStr">
        <is>
          <t>Со слов автора; это не автоматически 3 человеко-месяца</t>
        </is>
      </c>
    </row>
    <row r="5" ht="34" customHeight="1">
      <c r="A5" s="2" t="inlineStr">
        <is>
          <t>Подтверждённая трудоёмкость</t>
        </is>
      </c>
      <c r="B5" s="3" t="n"/>
      <c r="C5" s="2" t="inlineStr">
        <is>
          <t>ч</t>
        </is>
      </c>
      <c r="D5" s="2" t="inlineStr">
        <is>
          <t>Нужен учёт фактически затраченных часов</t>
        </is>
      </c>
    </row>
    <row r="6" ht="34" customHeight="1">
      <c r="A6" s="2" t="inlineStr">
        <is>
          <t>Оценка стоимости часа разработки</t>
        </is>
      </c>
      <c r="B6" s="3" t="n"/>
      <c r="C6" s="2" t="inlineStr">
        <is>
          <t>₽/ч</t>
        </is>
      </c>
      <c r="D6" s="2" t="inlineStr">
        <is>
          <t>При необходимости оценки полной стоимости труда</t>
        </is>
      </c>
    </row>
    <row r="7" ht="34" customHeight="1">
      <c r="A7" s="2" t="inlineStr">
        <is>
          <t>Прямые денежные расходы разработки</t>
        </is>
      </c>
      <c r="B7" s="3" t="n"/>
      <c r="C7" s="2" t="inlineStr">
        <is>
          <t>₽</t>
        </is>
      </c>
      <c r="D7" s="2" t="inlineStr">
        <is>
          <t>Автор: кроме времени затрат почти нет. Точная сумма не задана</t>
        </is>
      </c>
    </row>
    <row r="8" ht="34" customHeight="1">
      <c r="A8" s="2" t="inlineStr">
        <is>
          <t>Оценка исторических трудозатрат</t>
        </is>
      </c>
      <c r="B8" s="4">
        <f>IF(AND(COUNT(B5:B6)=2,MIN(B5:B6)&gt;=0),B5*B6,"")</f>
        <v/>
      </c>
      <c r="C8" s="2" t="inlineStr">
        <is>
          <t>₽</t>
        </is>
      </c>
      <c r="D8" s="2" t="inlineStr">
        <is>
          <t>Не выдавать календарный срок за трудоёмкость</t>
        </is>
      </c>
    </row>
    <row r="9" ht="34" customHeight="1">
      <c r="A9" s="2" t="inlineStr">
        <is>
          <t>Историческая оценка ресурсов</t>
        </is>
      </c>
      <c r="B9" s="4">
        <f>IF(AND(COUNT(B7:B8)=2,MIN(B7:B8)&gt;=0),B7+B8,"")</f>
        <v/>
      </c>
      <c r="C9" s="2" t="inlineStr">
        <is>
          <t>₽</t>
        </is>
      </c>
      <c r="D9" s="2" t="inlineStr">
        <is>
          <t>Отдельно от будущего решения о внедрении</t>
        </is>
      </c>
    </row>
  </sheetData>
  <dataValidations count="1">
    <dataValidation sqref="B4:B7" showDropDown="0" showInputMessage="0" showErrorMessage="1" allowBlank="0" error="Введите неотрицательное число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4" customWidth="1" min="2" max="2"/>
    <col width="17" customWidth="1" min="3" max="3"/>
    <col width="70" customWidth="1" min="4" max="4"/>
  </cols>
  <sheetData>
    <row r="1" ht="34" customHeight="1">
      <c r="A1" s="1" t="inlineStr">
        <is>
          <t>Код участника</t>
        </is>
      </c>
      <c r="B1" s="1" t="inlineStr">
        <is>
          <t>Сценарий</t>
        </is>
      </c>
      <c r="C1" s="1" t="inlineStr">
        <is>
          <t>Станция / условия</t>
        </is>
      </c>
      <c r="D1" s="1" t="inlineStr">
        <is>
          <t>Время до, мин</t>
        </is>
      </c>
      <c r="E1" s="1" t="inlineStr">
        <is>
          <t>Время после, мин</t>
        </is>
      </c>
      <c r="F1" s="1" t="inlineStr">
        <is>
          <t>Отклонения</t>
        </is>
      </c>
      <c r="G1" s="1" t="inlineStr">
        <is>
          <t>Обращения к наставнику</t>
        </is>
      </c>
      <c r="H1" s="1" t="inlineStr">
        <is>
          <t>Дата / основание</t>
        </is>
      </c>
    </row>
    <row r="2" ht="34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 ht="34" customHeight="1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 ht="34" customHeight="1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 ht="34" customHeight="1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</row>
    <row r="6" ht="34" customHeight="1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 ht="34" customHeight="1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</row>
    <row r="8" ht="34" customHeight="1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  <row r="9" ht="34" customHeight="1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</row>
    <row r="10" ht="34" customHeight="1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</row>
    <row r="11" ht="34" customHeight="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</row>
    <row r="12" ht="34" customHeight="1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</row>
    <row r="13" ht="34" customHeight="1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</row>
    <row r="14" ht="34" customHeight="1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</row>
    <row r="15" ht="34" customHeight="1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</row>
    <row r="16" ht="34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</row>
    <row r="17" ht="34" customHeight="1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</row>
    <row r="18" ht="34" customHeight="1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</row>
    <row r="19" ht="34" customHeight="1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</row>
    <row r="20" ht="34" customHeight="1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</row>
    <row r="21" ht="34" customHeight="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</row>
    <row r="22" ht="34" customHeight="1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</row>
    <row r="23" ht="34" customHeight="1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</row>
    <row r="24" ht="34" customHeight="1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</row>
    <row r="25" ht="34" customHeight="1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</row>
    <row r="26" ht="34" customHeight="1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</row>
    <row r="27" ht="34" customHeight="1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/>
    </row>
    <row r="28" ht="34" customHeight="1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</row>
    <row r="29" ht="34" customHeight="1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</row>
    <row r="30" ht="34" customHeight="1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</row>
    <row r="31" ht="34" customHeight="1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2" t="inlineStr"/>
    </row>
    <row r="32" ht="34" customHeight="1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</row>
    <row r="33" ht="34" customHeight="1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</row>
    <row r="34" ht="34" customHeight="1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</row>
    <row r="35" ht="34" customHeight="1">
      <c r="A35" s="2" t="inlineStr"/>
      <c r="B35" s="2" t="inlineStr"/>
      <c r="C35" s="2" t="inlineStr"/>
      <c r="D35" s="2" t="inlineStr"/>
      <c r="E35" s="2" t="inlineStr"/>
      <c r="F35" s="2" t="inlineStr"/>
      <c r="G35" s="2" t="inlineStr"/>
      <c r="H35" s="2" t="inlineStr"/>
    </row>
    <row r="36" ht="34" customHeight="1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</row>
    <row r="37" ht="34" customHeight="1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2" t="inlineStr"/>
    </row>
    <row r="38" ht="34" customHeight="1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</row>
    <row r="39" ht="34" customHeight="1">
      <c r="A39" s="2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/>
    </row>
    <row r="40" ht="34" customHeight="1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</row>
    <row r="41" ht="34" customHeight="1">
      <c r="A41" s="2" t="inlineStr"/>
      <c r="B41" s="2" t="inlineStr"/>
      <c r="C41" s="2" t="inlineStr"/>
      <c r="D41" s="2" t="inlineStr"/>
      <c r="E41" s="2" t="inlineStr"/>
      <c r="F41" s="2" t="inlineStr"/>
      <c r="G41" s="2" t="inlineStr"/>
      <c r="H41" s="2" t="inlineStr"/>
    </row>
  </sheetData>
  <autoFilter ref="A1:H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3" customWidth="1" min="1" max="1"/>
    <col width="24" customWidth="1" min="2" max="2"/>
    <col width="17" customWidth="1" min="3" max="3"/>
    <col width="70" customWidth="1" min="4" max="4"/>
  </cols>
  <sheetData>
    <row r="1" ht="34" customHeight="1">
      <c r="A1" s="1" t="inlineStr">
        <is>
          <t>Данные</t>
        </is>
      </c>
      <c r="B1" s="1" t="inlineStr">
        <is>
          <t>Статус</t>
        </is>
      </c>
      <c r="C1" s="1" t="inlineStr">
        <is>
          <t>Кто подтверждает</t>
        </is>
      </c>
      <c r="D1" s="1" t="inlineStr">
        <is>
          <t>Что требуется</t>
        </is>
      </c>
    </row>
    <row r="2" ht="34" customHeight="1">
      <c r="A2" s="2" t="inlineStr">
        <is>
          <t>3 месяца разработки; минимальные прямые расходы</t>
        </is>
      </c>
      <c r="B2" s="2" t="inlineStr">
        <is>
          <t>Со слов автора</t>
        </is>
      </c>
      <c r="C2" s="2" t="inlineStr">
        <is>
          <t>Автор проекта</t>
        </is>
      </c>
      <c r="D2" s="2" t="inlineStr">
        <is>
          <t>Подтвердить часы и денежную сумму при необходимости</t>
        </is>
      </c>
    </row>
    <row r="3" ht="34" customHeight="1">
      <c r="A3" s="2" t="inlineStr">
        <is>
          <t>≈250 человек</t>
        </is>
      </c>
      <c r="B3" s="2" t="inlineStr">
        <is>
          <t>Оценка автора</t>
        </is>
      </c>
      <c r="C3" s="2" t="inlineStr">
        <is>
          <t>Руководитель цеха</t>
        </is>
      </c>
      <c r="D3" s="2" t="inlineStr">
        <is>
          <t>Состав потенциальной аудитории</t>
        </is>
      </c>
    </row>
    <row r="4" ht="34" customHeight="1">
      <c r="A4" s="2" t="inlineStr">
        <is>
          <t>7–9 замеров за активный день</t>
        </is>
      </c>
      <c r="B4" s="2" t="inlineStr">
        <is>
          <t>Пример автора, не среднее по всем</t>
        </is>
      </c>
      <c r="C4" s="2" t="inlineStr">
        <is>
          <t>Пилотная группа</t>
        </is>
      </c>
      <c r="D4" s="2" t="inlineStr">
        <is>
          <t>Измерить долю таких дней и фактическое среднее</t>
        </is>
      </c>
    </row>
    <row r="5" ht="34" customHeight="1">
      <c r="A5" s="2" t="inlineStr">
        <is>
          <t>КВЧ, разгон, РИЧ, охлаждение</t>
        </is>
      </c>
      <c r="B5" s="2" t="inlineStr">
        <is>
          <t>Производственные сценарии автора</t>
        </is>
      </c>
      <c r="C5" s="2" t="inlineStr">
        <is>
          <t>Технологическая служба</t>
        </is>
      </c>
      <c r="D5" s="2" t="inlineStr">
        <is>
          <t>Подтвердить область применимости и причинные связи</t>
        </is>
      </c>
    </row>
    <row r="6" ht="34" customHeight="1">
      <c r="A6" s="2" t="inlineStr">
        <is>
          <t>Ремонт, простой, цена единицы эффекта</t>
        </is>
      </c>
      <c r="B6" s="2" t="inlineStr">
        <is>
          <t>Не предоставлено</t>
        </is>
      </c>
      <c r="C6" s="2" t="inlineStr">
        <is>
          <t>Экономическая / технологическая служба</t>
        </is>
      </c>
      <c r="D6" s="2" t="inlineStr">
        <is>
          <t>История, расходы, маржинальная оценка</t>
        </is>
      </c>
    </row>
    <row r="7" ht="34" customHeight="1">
      <c r="A7" s="2" t="inlineStr">
        <is>
          <t>Снижение частоты отказов</t>
        </is>
      </c>
      <c r="B7" s="2" t="inlineStr">
        <is>
          <t>Не измерено</t>
        </is>
      </c>
      <c r="C7" s="2" t="inlineStr">
        <is>
          <t>Владелец пилота</t>
        </is>
      </c>
      <c r="D7" s="2" t="inlineStr">
        <is>
          <t>Длительные наблюдения; короткий пилот может не дать значимости</t>
        </is>
      </c>
    </row>
    <row r="8" ht="34" customHeight="1">
      <c r="A8" s="2" t="inlineStr">
        <is>
          <t>Пять томов инструкций ПБиОТ</t>
        </is>
      </c>
      <c r="B8" s="2" t="inlineStr">
        <is>
          <t>Название предоставлено автором</t>
        </is>
      </c>
      <c r="C8" s="2" t="inlineStr">
        <is>
          <t>Владелец документов</t>
        </is>
      </c>
      <c r="D8" s="2" t="inlineStr">
        <is>
          <t>Номера, редакции и связь с разделами приложения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Оператор ДНГ — оценка эффекта</dc:title>
  <dcterms:created xmlns:dcterms="http://purl.org/dc/terms/" xmlns:xsi="http://www.w3.org/2001/XMLSchema-instance" xsi:type="dcterms:W3CDTF">2026-10-19T08:12:10Z</dcterms:created>
  <dcterms:modified xmlns:dcterms="http://purl.org/dc/terms/" xmlns:xsi="http://www.w3.org/2001/XMLSchema-instance" xsi:type="dcterms:W3CDTF">2026-10-19T17:40:06Z</dcterms:modified>
</cp:coreProperties>
</file>